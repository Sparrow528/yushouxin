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判定流程" sheetId="1" state="visible" r:id="rId1"/>
    <sheet xmlns:r="http://schemas.openxmlformats.org/officeDocument/2006/relationships" name="电池类型定义对照" sheetId="2" state="visible" r:id="rId2"/>
    <sheet xmlns:r="http://schemas.openxmlformats.org/officeDocument/2006/relationships" name="客户判定记录表" sheetId="3" state="visible" r:id="rId3"/>
    <sheet xmlns:r="http://schemas.openxmlformats.org/officeDocument/2006/relationships" name="判定说明"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icrosoft YaHei"/>
      <b val="1"/>
      <color rgb="00FFFFFF"/>
      <sz val="11"/>
    </font>
    <font>
      <name val="Microsoft YaHei"/>
      <sz val="10"/>
    </font>
    <font>
      <name val="Microsoft YaHei"/>
      <b val="1"/>
      <color rgb="001A237E"/>
      <sz val="14"/>
    </font>
    <font>
      <name val="Microsoft YaHei"/>
      <b val="1"/>
      <color rgb="001A237E"/>
      <sz val="12"/>
    </font>
    <font>
      <name val="Microsoft YaHei"/>
      <b val="1"/>
      <sz val="10"/>
    </font>
    <font>
      <name val="Microsoft YaHei"/>
      <color rgb="00C62828"/>
      <sz val="10"/>
    </font>
  </fonts>
  <fills count="8">
    <fill>
      <patternFill/>
    </fill>
    <fill>
      <patternFill patternType="gray125"/>
    </fill>
    <fill>
      <patternFill patternType="solid">
        <fgColor rgb="001A237E"/>
        <bgColor rgb="001A237E"/>
      </patternFill>
    </fill>
    <fill>
      <patternFill patternType="solid">
        <fgColor rgb="00FFCDD2"/>
        <bgColor rgb="00FFCDD2"/>
      </patternFill>
    </fill>
    <fill>
      <patternFill patternType="solid">
        <fgColor rgb="00FFE0B2"/>
        <bgColor rgb="00FFE0B2"/>
      </patternFill>
    </fill>
    <fill>
      <patternFill patternType="solid">
        <fgColor rgb="00BBDEFB"/>
        <bgColor rgb="00BBDEFB"/>
      </patternFill>
    </fill>
    <fill>
      <patternFill patternType="solid">
        <fgColor rgb="00CFD8DC"/>
        <bgColor rgb="00CFD8DC"/>
      </patternFill>
    </fill>
    <fill>
      <patternFill patternType="solid">
        <fgColor rgb="00C8E6C9"/>
        <bgColor rgb="00C8E6C9"/>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vertical="center" wrapText="1"/>
    </xf>
    <xf numFmtId="0" fontId="2" fillId="3" borderId="1" applyAlignment="1" pivotButton="0" quotePrefix="0" xfId="0">
      <alignment vertical="center" wrapText="1"/>
    </xf>
    <xf numFmtId="0" fontId="2" fillId="4" borderId="1" applyAlignment="1" pivotButton="0" quotePrefix="0" xfId="0">
      <alignment vertical="center" wrapText="1"/>
    </xf>
    <xf numFmtId="0" fontId="2" fillId="5" borderId="1" applyAlignment="1" pivotButton="0" quotePrefix="0" xfId="0">
      <alignment vertical="center" wrapText="1"/>
    </xf>
    <xf numFmtId="0" fontId="2" fillId="6" borderId="1" applyAlignment="1" pivotButton="0" quotePrefix="0" xfId="0">
      <alignment vertical="center" wrapText="1"/>
    </xf>
    <xf numFmtId="0" fontId="2" fillId="7" borderId="1" applyAlignment="1" pivotButton="0" quotePrefix="0" xfId="0">
      <alignment vertical="center" wrapText="1"/>
    </xf>
    <xf numFmtId="0" fontId="2" fillId="7"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0" pivotButton="0" quotePrefix="0" xfId="0"/>
    <xf numFmtId="0" fontId="4" fillId="0" borderId="0" pivotButton="0" quotePrefix="0" xfId="0"/>
    <xf numFmtId="0" fontId="5" fillId="0" borderId="0" pivotButton="0" quotePrefix="0" xfId="0"/>
    <xf numFmtId="0" fontId="2" fillId="0" borderId="0" pivotButton="0" quotePrefix="0" xfId="0"/>
    <xf numFmtId="0" fontId="6" fillId="0" borderId="0" pivotButton="0" quotePrefix="0" xfId="0"/>
  </cellXfs>
  <cellStyles count="1">
    <cellStyle name="Normal" xfId="0" builtinId="0" hidden="0"/>
  </cellStyles>
  <dxfs count="6">
    <dxf>
      <font>
        <b val="1"/>
        <color rgb="00FFFFFF"/>
      </font>
      <fill>
        <patternFill patternType="solid">
          <fgColor rgb="00FF0000"/>
          <bgColor rgb="00FF0000"/>
        </patternFill>
      </fill>
    </dxf>
    <dxf>
      <font>
        <b val="1"/>
        <color rgb="00FFFFFF"/>
      </font>
      <fill>
        <patternFill patternType="solid">
          <fgColor rgb="00FF8C00"/>
          <bgColor rgb="00FF8C00"/>
        </patternFill>
      </fill>
    </dxf>
    <dxf>
      <font>
        <b val="1"/>
        <color rgb="00FFFFFF"/>
      </font>
      <fill>
        <patternFill patternType="solid">
          <fgColor rgb="001565C0"/>
          <bgColor rgb="001565C0"/>
        </patternFill>
      </fill>
    </dxf>
    <dxf>
      <font>
        <b val="1"/>
        <color rgb="00FFFFFF"/>
      </font>
      <fill>
        <patternFill patternType="solid">
          <fgColor rgb="00757575"/>
          <bgColor rgb="00757575"/>
        </patternFill>
      </fill>
    </dxf>
    <dxf>
      <font>
        <b val="1"/>
        <color rgb="00FFFFFF"/>
      </font>
      <fill>
        <patternFill patternType="solid">
          <fgColor rgb="002E7D32"/>
          <bgColor rgb="002E7D32"/>
        </patternFill>
      </fill>
    </dxf>
    <dxf>
      <font>
        <b val="1"/>
        <color rgb="00000000"/>
      </font>
      <fill>
        <patternFill patternType="solid">
          <fgColor rgb="00F9A825"/>
          <bgColor rgb="00F9A82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237E"/>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8" customWidth="1" min="1" max="1"/>
    <col width="50" customWidth="1" min="2" max="2"/>
    <col width="28" customWidth="1" min="3" max="3"/>
    <col width="28" customWidth="1" min="4" max="4"/>
  </cols>
  <sheetData>
    <row r="1">
      <c r="A1" s="1" t="inlineStr">
        <is>
          <t>步骤</t>
        </is>
      </c>
      <c r="B1" s="1" t="inlineStr">
        <is>
          <t>问题</t>
        </is>
      </c>
      <c r="C1" s="1" t="inlineStr">
        <is>
          <t>是 →</t>
        </is>
      </c>
      <c r="D1" s="1" t="inlineStr">
        <is>
          <t>否 →</t>
        </is>
      </c>
    </row>
    <row r="2">
      <c r="A2" s="2" t="inlineStr">
        <is>
          <t>Q1</t>
        </is>
      </c>
      <c r="B2" s="3" t="inlineStr">
        <is>
          <t>电池是否用于电动汽车（EV）的牵引？</t>
        </is>
      </c>
      <c r="C2" s="4" t="inlineStr">
        <is>
          <t>→ EV电池</t>
        </is>
      </c>
      <c r="D2" s="3" t="inlineStr">
        <is>
          <t>进入Q2</t>
        </is>
      </c>
    </row>
    <row r="3">
      <c r="A3" s="2" t="inlineStr">
        <is>
          <t>Q2</t>
        </is>
      </c>
      <c r="B3" s="3" t="inlineStr">
        <is>
          <t>电池是否用于轻型交通工具（E-bike/电动滑板车/电动轮椅等）？</t>
        </is>
      </c>
      <c r="C3" s="5" t="inlineStr">
        <is>
          <t>→ LMT电池</t>
        </is>
      </c>
      <c r="D3" s="3" t="inlineStr">
        <is>
          <t>进入Q3</t>
        </is>
      </c>
    </row>
    <row r="4">
      <c r="A4" s="2" t="inlineStr">
        <is>
          <t>Q3</t>
        </is>
      </c>
      <c r="B4" s="3" t="inlineStr">
        <is>
          <t>电池额定能量是否&gt;2kWh？</t>
        </is>
      </c>
      <c r="C4" s="3" t="inlineStr">
        <is>
          <t>进入Q4</t>
        </is>
      </c>
      <c r="D4" s="3" t="inlineStr">
        <is>
          <t>进入Q6</t>
        </is>
      </c>
    </row>
    <row r="5">
      <c r="A5" s="2" t="inlineStr">
        <is>
          <t>Q4</t>
        </is>
      </c>
      <c r="B5" s="3" t="inlineStr">
        <is>
          <t>电池是否用于固定储能（UPS/储能柜等）？</t>
        </is>
      </c>
      <c r="C5" s="6" t="inlineStr">
        <is>
          <t>→ 工业电池（固定储能）</t>
        </is>
      </c>
      <c r="D5" s="3" t="inlineStr">
        <is>
          <t>进入Q5</t>
        </is>
      </c>
    </row>
    <row r="6">
      <c r="A6" s="2" t="inlineStr">
        <is>
          <t>Q5</t>
        </is>
      </c>
      <c r="B6" s="3" t="inlineStr">
        <is>
          <t>电池是否用于工业设备（叉车/AGV/工业机械等）？</t>
        </is>
      </c>
      <c r="C6" s="6" t="inlineStr">
        <is>
          <t>→ 工业电池（&gt;2kWh）</t>
        </is>
      </c>
      <c r="D6" s="3" t="inlineStr">
        <is>
          <t>重新评估</t>
        </is>
      </c>
    </row>
    <row r="7">
      <c r="A7" s="2" t="inlineStr">
        <is>
          <t>Q6</t>
        </is>
      </c>
      <c r="B7" s="3" t="inlineStr">
        <is>
          <t>电池是否用于汽车启动/照明/点火？</t>
        </is>
      </c>
      <c r="C7" s="7" t="inlineStr">
        <is>
          <t>→ SLI电池</t>
        </is>
      </c>
      <c r="D7" s="3" t="inlineStr">
        <is>
          <t>进入Q7</t>
        </is>
      </c>
    </row>
    <row r="8">
      <c r="A8" s="2" t="inlineStr">
        <is>
          <t>Q7</t>
        </is>
      </c>
      <c r="B8" s="3" t="inlineStr">
        <is>
          <t>电池是否可充电且非上述用途？</t>
        </is>
      </c>
      <c r="C8" s="8" t="inlineStr">
        <is>
          <t>→ 便携式电池（可充电）</t>
        </is>
      </c>
      <c r="D8" s="8" t="inlineStr">
        <is>
          <t>→ 便携式电池（一次性）</t>
        </is>
      </c>
    </row>
  </sheetData>
  <pageMargins left="0.75" right="0.75" top="1" bottom="1" header="0.5" footer="0.5"/>
</worksheet>
</file>

<file path=xl/worksheets/sheet2.xml><?xml version="1.0" encoding="utf-8"?>
<worksheet xmlns="http://schemas.openxmlformats.org/spreadsheetml/2006/main">
  <sheetPr>
    <tabColor rgb="00E65100"/>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38" customWidth="1" min="3" max="3"/>
    <col width="28" customWidth="1" min="4" max="4"/>
    <col width="18" customWidth="1" min="5" max="5"/>
    <col width="30" customWidth="1" min="6" max="6"/>
  </cols>
  <sheetData>
    <row r="1">
      <c r="A1" s="1" t="inlineStr">
        <is>
          <t>电池类型</t>
        </is>
      </c>
      <c r="B1" s="1" t="inlineStr">
        <is>
          <t>Art.3条款</t>
        </is>
      </c>
      <c r="C1" s="1" t="inlineStr">
        <is>
          <t>定义</t>
        </is>
      </c>
      <c r="D1" s="1" t="inlineStr">
        <is>
          <t>典型产品</t>
        </is>
      </c>
      <c r="E1" s="1" t="inlineStr">
        <is>
          <t>是否需要电池护照</t>
        </is>
      </c>
      <c r="F1" s="1" t="inlineStr">
        <is>
          <t>关键法规要求</t>
        </is>
      </c>
    </row>
    <row r="2">
      <c r="A2" s="9" t="inlineStr">
        <is>
          <t>便携式电池</t>
        </is>
      </c>
      <c r="B2" s="2" t="inlineStr">
        <is>
          <t>Art.3(6)</t>
        </is>
      </c>
      <c r="C2" s="3" t="inlineStr">
        <is>
          <t>密封式、重量≤5kg、非工业/EV/LMT/SLI用途</t>
        </is>
      </c>
      <c r="D2" s="3" t="inlineStr">
        <is>
          <t>遥控器电池、手电筒、玩具电池</t>
        </is>
      </c>
      <c r="E2" s="2" t="inlineStr">
        <is>
          <t>否</t>
        </is>
      </c>
      <c r="F2" s="3" t="inlineStr">
        <is>
          <t>CE标志、EPR、标签</t>
        </is>
      </c>
    </row>
    <row r="3">
      <c r="A3" s="10" t="inlineStr">
        <is>
          <t>SLI电池</t>
        </is>
      </c>
      <c r="B3" s="2" t="inlineStr">
        <is>
          <t>Art.3(7)</t>
        </is>
      </c>
      <c r="C3" s="3" t="inlineStr">
        <is>
          <t>用于车辆启动/照明/点火</t>
        </is>
      </c>
      <c r="D3" s="3" t="inlineStr">
        <is>
          <t>汽车启动电池</t>
        </is>
      </c>
      <c r="E3" s="2" t="inlineStr">
        <is>
          <t>否</t>
        </is>
      </c>
      <c r="F3" s="3" t="inlineStr">
        <is>
          <t>CE标志、EPR、标签</t>
        </is>
      </c>
    </row>
    <row r="4">
      <c r="A4" s="11" t="inlineStr">
        <is>
          <t>LMT电池</t>
        </is>
      </c>
      <c r="B4" s="2" t="inlineStr">
        <is>
          <t>Art.3(8)</t>
        </is>
      </c>
      <c r="C4" s="3" t="inlineStr">
        <is>
          <t>用于轻型交通工具（≤250kg空车+1人）</t>
        </is>
      </c>
      <c r="D4" s="3" t="inlineStr">
        <is>
          <t>E-bike、电动滑板车</t>
        </is>
      </c>
      <c r="E4" s="2" t="inlineStr">
        <is>
          <t>&gt;2kWh需要</t>
        </is>
      </c>
      <c r="F4" s="3" t="inlineStr">
        <is>
          <t>护照+碳足迹+尽调+标签</t>
        </is>
      </c>
    </row>
    <row r="5">
      <c r="A5" s="12" t="inlineStr">
        <is>
          <t>工业电池</t>
        </is>
      </c>
      <c r="B5" s="2" t="inlineStr">
        <is>
          <t>Art.3(9)</t>
        </is>
      </c>
      <c r="C5" s="3" t="inlineStr">
        <is>
          <t>主要用于工业用途或发电/储能</t>
        </is>
      </c>
      <c r="D5" s="3" t="inlineStr">
        <is>
          <t>叉车电池、储能电池</t>
        </is>
      </c>
      <c r="E5" s="2" t="inlineStr">
        <is>
          <t>&gt;2kWh需要</t>
        </is>
      </c>
      <c r="F5" s="3" t="inlineStr">
        <is>
          <t>护照+碳足迹+尽调+标签</t>
        </is>
      </c>
    </row>
    <row r="6">
      <c r="A6" s="13" t="inlineStr">
        <is>
          <t>EV电池</t>
        </is>
      </c>
      <c r="B6" s="2" t="inlineStr">
        <is>
          <t>Art.3(10)</t>
        </is>
      </c>
      <c r="C6" s="3" t="inlineStr">
        <is>
          <t>用于混合动力或纯电动汽车牵引</t>
        </is>
      </c>
      <c r="D6" s="3" t="inlineStr">
        <is>
          <t>电动汽车动力电池</t>
        </is>
      </c>
      <c r="E6" s="2" t="inlineStr">
        <is>
          <t>需要</t>
        </is>
      </c>
      <c r="F6" s="3" t="inlineStr">
        <is>
          <t>护照+碳足迹+尽调+标签+性能</t>
        </is>
      </c>
    </row>
  </sheetData>
  <pageMargins left="0.75" right="0.75" top="1" bottom="1" header="0.5" footer="0.5"/>
</worksheet>
</file>

<file path=xl/worksheets/sheet3.xml><?xml version="1.0" encoding="utf-8"?>
<worksheet xmlns="http://schemas.openxmlformats.org/spreadsheetml/2006/main">
  <sheetPr>
    <tabColor rgb="002E7D32"/>
    <outlinePr summaryBelow="1" summaryRight="1"/>
    <pageSetUpPr/>
  </sheetPr>
  <dimension ref="A1:Q51"/>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4" customWidth="1" min="3" max="3"/>
    <col width="14" customWidth="1" min="4" max="4"/>
    <col width="12" customWidth="1" min="5" max="5"/>
    <col width="14" customWidth="1" min="6" max="6"/>
    <col width="12" customWidth="1" min="7" max="7"/>
    <col width="16" customWidth="1" min="8" max="8"/>
    <col width="12" customWidth="1" min="9" max="9"/>
    <col width="16" customWidth="1" min="10" max="10"/>
    <col width="16" customWidth="1" min="11" max="11"/>
    <col width="16" customWidth="1" min="12" max="12"/>
    <col width="16" customWidth="1" min="13" max="13"/>
    <col width="20" customWidth="1" min="14" max="14"/>
    <col width="10" customWidth="1" min="15" max="15"/>
    <col width="14" customWidth="1" min="16" max="16"/>
    <col width="10" customWidth="1" min="17" max="17"/>
  </cols>
  <sheetData>
    <row r="1">
      <c r="A1" s="1" t="inlineStr">
        <is>
          <t>客户名称</t>
        </is>
      </c>
      <c r="B1" s="1" t="inlineStr">
        <is>
          <t>产品名称</t>
        </is>
      </c>
      <c r="C1" s="1" t="inlineStr">
        <is>
          <t>电池用途描述</t>
        </is>
      </c>
      <c r="D1" s="1" t="inlineStr">
        <is>
          <t>额定容量(Ah)</t>
        </is>
      </c>
      <c r="E1" s="1" t="inlineStr">
        <is>
          <t>额定电压(V)</t>
        </is>
      </c>
      <c r="F1" s="1" t="inlineStr">
        <is>
          <t>额定能量(Wh)</t>
        </is>
      </c>
      <c r="G1" s="1" t="inlineStr">
        <is>
          <t>是否&gt;2kWh</t>
        </is>
      </c>
      <c r="H1" s="1" t="inlineStr">
        <is>
          <t>是否用于EV牵引</t>
        </is>
      </c>
      <c r="I1" s="1" t="inlineStr">
        <is>
          <t>是否用于LMT</t>
        </is>
      </c>
      <c r="J1" s="1" t="inlineStr">
        <is>
          <t>是否用于工业设备</t>
        </is>
      </c>
      <c r="K1" s="1" t="inlineStr">
        <is>
          <t>是否用于固定储能</t>
        </is>
      </c>
      <c r="L1" s="1" t="inlineStr">
        <is>
          <t>是否用于汽车启动</t>
        </is>
      </c>
      <c r="M1" s="1" t="inlineStr">
        <is>
          <t>判定结果</t>
        </is>
      </c>
      <c r="N1" s="1" t="inlineStr">
        <is>
          <t>判定依据</t>
        </is>
      </c>
      <c r="O1" s="1" t="inlineStr">
        <is>
          <t>判定人</t>
        </is>
      </c>
      <c r="P1" s="1" t="inlineStr">
        <is>
          <t>判定日期</t>
        </is>
      </c>
      <c r="Q1" s="1" t="inlineStr">
        <is>
          <t>复核人</t>
        </is>
      </c>
    </row>
    <row r="2">
      <c r="A2" s="3" t="n"/>
      <c r="B2" s="3" t="n"/>
      <c r="C2" s="3" t="n"/>
      <c r="D2" s="2" t="n"/>
      <c r="E2" s="2" t="n"/>
      <c r="F2" s="2">
        <f>IF(AND(D2&lt;&gt;"",E2&lt;&gt;""),D2*E2,"")</f>
        <v/>
      </c>
      <c r="G2" s="2">
        <f>IF(F2="","",IF(F2&gt;2000,"是","否"))</f>
        <v/>
      </c>
      <c r="H2" s="2" t="n"/>
      <c r="I2" s="2" t="n"/>
      <c r="J2" s="2" t="n"/>
      <c r="K2" s="2" t="n"/>
      <c r="L2" s="2" t="n"/>
      <c r="M2" s="2" t="n"/>
      <c r="N2" s="2" t="n"/>
      <c r="O2" s="2" t="n"/>
      <c r="P2" s="2" t="n"/>
      <c r="Q2" s="2" t="n"/>
    </row>
    <row r="3">
      <c r="A3" s="3" t="n"/>
      <c r="B3" s="3" t="n"/>
      <c r="C3" s="3" t="n"/>
      <c r="D3" s="2" t="n"/>
      <c r="E3" s="2" t="n"/>
      <c r="F3" s="2">
        <f>IF(AND(D3&lt;&gt;"",E3&lt;&gt;""),D3*E3,"")</f>
        <v/>
      </c>
      <c r="G3" s="2">
        <f>IF(F3="","",IF(F3&gt;2000,"是","否"))</f>
        <v/>
      </c>
      <c r="H3" s="2" t="n"/>
      <c r="I3" s="2" t="n"/>
      <c r="J3" s="2" t="n"/>
      <c r="K3" s="2" t="n"/>
      <c r="L3" s="2" t="n"/>
      <c r="M3" s="2" t="n"/>
      <c r="N3" s="2" t="n"/>
      <c r="O3" s="2" t="n"/>
      <c r="P3" s="2" t="n"/>
      <c r="Q3" s="2" t="n"/>
    </row>
    <row r="4">
      <c r="A4" s="3" t="n"/>
      <c r="B4" s="3" t="n"/>
      <c r="C4" s="3" t="n"/>
      <c r="D4" s="2" t="n"/>
      <c r="E4" s="2" t="n"/>
      <c r="F4" s="2">
        <f>IF(AND(D4&lt;&gt;"",E4&lt;&gt;""),D4*E4,"")</f>
        <v/>
      </c>
      <c r="G4" s="2">
        <f>IF(F4="","",IF(F4&gt;2000,"是","否"))</f>
        <v/>
      </c>
      <c r="H4" s="2" t="n"/>
      <c r="I4" s="2" t="n"/>
      <c r="J4" s="2" t="n"/>
      <c r="K4" s="2" t="n"/>
      <c r="L4" s="2" t="n"/>
      <c r="M4" s="2" t="n"/>
      <c r="N4" s="2" t="n"/>
      <c r="O4" s="2" t="n"/>
      <c r="P4" s="2" t="n"/>
      <c r="Q4" s="2" t="n"/>
    </row>
    <row r="5">
      <c r="A5" s="3" t="n"/>
      <c r="B5" s="3" t="n"/>
      <c r="C5" s="3" t="n"/>
      <c r="D5" s="2" t="n"/>
      <c r="E5" s="2" t="n"/>
      <c r="F5" s="2">
        <f>IF(AND(D5&lt;&gt;"",E5&lt;&gt;""),D5*E5,"")</f>
        <v/>
      </c>
      <c r="G5" s="2">
        <f>IF(F5="","",IF(F5&gt;2000,"是","否"))</f>
        <v/>
      </c>
      <c r="H5" s="2" t="n"/>
      <c r="I5" s="2" t="n"/>
      <c r="J5" s="2" t="n"/>
      <c r="K5" s="2" t="n"/>
      <c r="L5" s="2" t="n"/>
      <c r="M5" s="2" t="n"/>
      <c r="N5" s="2" t="n"/>
      <c r="O5" s="2" t="n"/>
      <c r="P5" s="2" t="n"/>
      <c r="Q5" s="2" t="n"/>
    </row>
    <row r="6">
      <c r="A6" s="3" t="n"/>
      <c r="B6" s="3" t="n"/>
      <c r="C6" s="3" t="n"/>
      <c r="D6" s="2" t="n"/>
      <c r="E6" s="2" t="n"/>
      <c r="F6" s="2">
        <f>IF(AND(D6&lt;&gt;"",E6&lt;&gt;""),D6*E6,"")</f>
        <v/>
      </c>
      <c r="G6" s="2">
        <f>IF(F6="","",IF(F6&gt;2000,"是","否"))</f>
        <v/>
      </c>
      <c r="H6" s="2" t="n"/>
      <c r="I6" s="2" t="n"/>
      <c r="J6" s="2" t="n"/>
      <c r="K6" s="2" t="n"/>
      <c r="L6" s="2" t="n"/>
      <c r="M6" s="2" t="n"/>
      <c r="N6" s="2" t="n"/>
      <c r="O6" s="2" t="n"/>
      <c r="P6" s="2" t="n"/>
      <c r="Q6" s="2" t="n"/>
    </row>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sheetData>
  <conditionalFormatting sqref="M2:M51">
    <cfRule type="cellIs" priority="1" operator="equal" dxfId="0">
      <formula>"EV电池"</formula>
    </cfRule>
    <cfRule type="cellIs" priority="2" operator="equal" dxfId="1">
      <formula>"LMT电池"</formula>
    </cfRule>
    <cfRule type="cellIs" priority="3" operator="equal" dxfId="2">
      <formula>"工业电池"</formula>
    </cfRule>
    <cfRule type="cellIs" priority="4" operator="equal" dxfId="3">
      <formula>"SLI电池"</formula>
    </cfRule>
    <cfRule type="cellIs" priority="5" operator="equal" dxfId="4">
      <formula>"便携式电池"</formula>
    </cfRule>
    <cfRule type="cellIs" priority="6" operator="equal" dxfId="5">
      <formula>"不确定"</formula>
    </cfRule>
  </conditionalFormatting>
  <dataValidations count="2">
    <dataValidation sqref="H2 H3 H4 H5 H6 H7 H8 H9 H10 H11 H12 H13 H14 H15 H16 H17 H18 H19 H20 H21 H22 H23 H24 H25 H26 H27 H28 H29 H30 H31 H32 H33 H34 H35 H36 H37 H38 H39 H40 H41 H42 H43 H44 H45 H46 H47 H48 H49 H50 H51 I2 I3 I4 I5 I6 I7 I8 I9 I10 I11 I12 I13 I14 I15 I16 I17 I18 I19 I20 I21 I22 I23 I24 I25 I26 I27 I28 I29 I30 I31 I32 I33 I34 I35 I36 I37 I38 I39 I40 I41 I42 I43 I44 I45 I46 I47 I48 I49 I50 I51 J2 J3 J4 J5 J6 J7 J8 J9 J10 J11 J12 J13 J14 J15 J16 J17 J18 J19 J20 J21 J22 J23 J24 J25 J26 J27 J28 J29 J30 J31 J32 J33 J34 J35 J36 J37 J38 J39 J40 J41 J42 J43 J44 J45 J46 J47 J48 J49 J50 J51 K2 K3 K4 K5 K6 K7 K8 K9 K10 K11 K12 K13 K14 K15 K16 K17 K18 K19 K20 K21 K22 K23 K24 K25 K26 K27 K28 K29 K30 K31 K32 K33 K34 K35 K36 K37 K38 K39 K40 K41 K42 K43 K44 K45 K46 K47 K48 K49 K50 K51 L2 L3 L4 L5 L6 L7 L8 L9 L10 L11 L12 L13 L14 L15 L16 L17 L18 L19 L20 L21 L22 L23 L24 L25 L26 L27 L28 L29 L30 L31 L32 L33 L34 L35 L36 L37 L38 L39 L40 L41 L42 L43 L44 L45 L46 L47 L48 L49 L50 L51" showDropDown="0" showInputMessage="0" showErrorMessage="0" allowBlank="1" errorTitle="输入错误" error="请选择：是/否/不确定" type="list">
      <formula1>"是,否,不确定"</formula1>
    </dataValidation>
    <dataValidation sqref="M2 M3 M4 M5 M6 M7 M8 M9 M10 M11 M12 M13 M14 M15 M16 M17 M18 M19 M20 M21 M22 M23 M24 M25 M26 M27 M28 M29 M30 M31 M32 M33 M34 M35 M36 M37 M38 M39 M40 M41 M42 M43 M44 M45 M46 M47 M48 M49 M50 M51" showDropDown="0" showInputMessage="0" showErrorMessage="0" allowBlank="1" errorTitle="输入错误" error="请选择判定结果" type="list">
      <formula1>"EV电池,LMT电池,工业电池,SLI电池,便携式电池,不确定"</formula1>
    </dataValidation>
  </dataValidations>
  <pageMargins left="0.75" right="0.75" top="1" bottom="1" header="0.5" footer="0.5"/>
</worksheet>
</file>

<file path=xl/worksheets/sheet4.xml><?xml version="1.0" encoding="utf-8"?>
<worksheet xmlns="http://schemas.openxmlformats.org/spreadsheetml/2006/main">
  <sheetPr>
    <tabColor rgb="006A1B9A"/>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20" customWidth="1" min="3" max="3"/>
    <col width="20" customWidth="1" min="4" max="4"/>
  </cols>
  <sheetData>
    <row r="1" ht="35" customHeight="1">
      <c r="A1" s="14" t="inlineStr">
        <is>
          <t>EU 20306 电池法规 — 电池类型判定表使用说明</t>
        </is>
      </c>
    </row>
    <row r="2">
      <c r="A2" t="inlineStr"/>
      <c r="B2" t="inlineStr"/>
    </row>
    <row r="3">
      <c r="A3" s="15" t="inlineStr">
        <is>
          <t>一、工作表说明</t>
        </is>
      </c>
      <c r="B3" t="inlineStr"/>
    </row>
    <row r="4">
      <c r="A4" s="16" t="inlineStr">
        <is>
          <t>Sheet 1 — 判定流程</t>
        </is>
      </c>
      <c r="B4" s="17" t="inlineStr">
        <is>
          <t>简化版决策树，按Q1→Q7顺序依次回答即可快速定位电池类型。</t>
        </is>
      </c>
    </row>
    <row r="5">
      <c r="A5" s="16" t="inlineStr">
        <is>
          <t>Sheet 2 — 电池类型定义对照</t>
        </is>
      </c>
      <c r="B5" s="17" t="inlineStr">
        <is>
          <t>基于法规Art.3的正式定义，包含各类型的条款出处、定义、典型产品、护照要求和关键法规义务。</t>
        </is>
      </c>
    </row>
    <row r="6">
      <c r="A6" s="16" t="inlineStr">
        <is>
          <t>Sheet 3 — 客户判定记录表</t>
        </is>
      </c>
      <c r="B6" s="17" t="inlineStr">
        <is>
          <t>用于记录每个客户/产品的判定过程和结论，含自动计算公式和下拉选项。</t>
        </is>
      </c>
    </row>
    <row r="7">
      <c r="A7" t="inlineStr"/>
      <c r="B7" t="inlineStr"/>
    </row>
    <row r="8">
      <c r="A8" s="15" t="inlineStr">
        <is>
          <t>二、使用步骤</t>
        </is>
      </c>
      <c r="B8" t="inlineStr"/>
    </row>
    <row r="9">
      <c r="A9" s="16" t="inlineStr">
        <is>
          <t>第1步</t>
        </is>
      </c>
      <c r="B9" s="17" t="inlineStr">
        <is>
          <t>在Sheet 3填写客户名称、产品名称和电池用途描述。</t>
        </is>
      </c>
    </row>
    <row r="10">
      <c r="A10" s="16" t="inlineStr">
        <is>
          <t>第2步</t>
        </is>
      </c>
      <c r="B10" s="17" t="inlineStr">
        <is>
          <t>填写额定容量(Ah)和额定电压(V)，额定能量(Wh)和是否&gt;2kWh会自动计算。</t>
        </is>
      </c>
    </row>
    <row r="11">
      <c r="A11" s="16" t="inlineStr">
        <is>
          <t>第3步</t>
        </is>
      </c>
      <c r="B11" s="17" t="inlineStr">
        <is>
          <t>按Sheet 1的决策树顺序，逐项选择"是/否/不确定"。</t>
        </is>
      </c>
    </row>
    <row r="12">
      <c r="A12" s="16" t="inlineStr">
        <is>
          <t>第4步</t>
        </is>
      </c>
      <c r="B12" s="17" t="inlineStr">
        <is>
          <t>在"判定结果"列从下拉菜单选择最终分类。</t>
        </is>
      </c>
    </row>
    <row r="13">
      <c r="A13" s="16" t="inlineStr">
        <is>
          <t>第5步</t>
        </is>
      </c>
      <c r="B13" s="17" t="inlineStr">
        <is>
          <t>填写判定依据、判定人和日期，安排复核人审核。</t>
        </is>
      </c>
    </row>
    <row r="14">
      <c r="A14" t="inlineStr"/>
      <c r="B14" t="inlineStr"/>
    </row>
    <row r="15">
      <c r="A15" s="15" t="inlineStr">
        <is>
          <t>三、注意事项</t>
        </is>
      </c>
      <c r="B15" t="inlineStr"/>
    </row>
    <row r="16">
      <c r="A16" s="18" t="inlineStr">
        <is>
          <t>•</t>
        </is>
      </c>
      <c r="B16" s="17" t="inlineStr">
        <is>
          <t>如判定结果为"不确定"，建议请法规专家复核后再确定。</t>
        </is>
      </c>
    </row>
    <row r="17">
      <c r="A17" s="18" t="inlineStr">
        <is>
          <t>•</t>
        </is>
      </c>
      <c r="B17" s="17" t="inlineStr">
        <is>
          <t>判定结果直接影响后续S3法规适配的范围，务必准确。</t>
        </is>
      </c>
    </row>
    <row r="18">
      <c r="A18" s="18" t="inlineStr">
        <is>
          <t>•</t>
        </is>
      </c>
      <c r="B18" s="17" t="inlineStr">
        <is>
          <t>同一产品可能涉及多个电池，每个电池需单独判定。</t>
        </is>
      </c>
    </row>
    <row r="19">
      <c r="A19" s="18" t="inlineStr">
        <is>
          <t>•</t>
        </is>
      </c>
      <c r="B19" s="17" t="inlineStr">
        <is>
          <t>2kWh阈值是电池护照要求的关键分界线。</t>
        </is>
      </c>
    </row>
    <row r="20">
      <c r="A20" s="18" t="inlineStr">
        <is>
          <t>•</t>
        </is>
      </c>
      <c r="B20" s="17" t="inlineStr">
        <is>
          <t>本表基于EU 20306号法规（电池与废电池法规），请确认使用最新版本。</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2026-09-18T06:22:36Z</dcterms:created>
  <dcterms:modified xmlns:dcterms="http://purl.org/dc/terms/" xmlns:xsi="http://www.w3.org/2001/XMLSchema-instance" xsi:type="dcterms:W3CDTF">2026-09-18T06:22:37Z</dcterms:modified>
</cp:coreProperties>
</file>