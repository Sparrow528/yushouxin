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维度评分表" sheetId="1" state="visible" r:id="rId1"/>
    <sheet xmlns:r="http://schemas.openxmlformats.org/officeDocument/2006/relationships" name="单项判定规则" sheetId="2" state="visible" r:id="rId2"/>
    <sheet xmlns:r="http://schemas.openxmlformats.org/officeDocument/2006/relationships" name="综合评级区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color rgb="00263238"/>
      <sz val="10"/>
    </font>
    <font>
      <name val="微软雅黑"/>
      <b val="1"/>
      <color rgb="00263238"/>
      <sz val="10"/>
    </font>
    <font>
      <name val="微软雅黑"/>
      <color rgb="00546E7A"/>
      <sz val="9"/>
    </font>
    <font>
      <name val="微软雅黑"/>
      <b val="1"/>
      <color rgb="002E7D32"/>
      <sz val="10"/>
    </font>
    <font>
      <name val="微软雅黑"/>
      <color rgb="002E7D32"/>
      <sz val="13"/>
    </font>
    <font>
      <name val="微软雅黑"/>
      <b val="1"/>
      <color rgb="00F9A825"/>
      <sz val="10"/>
    </font>
    <font>
      <name val="微软雅黑"/>
      <color rgb="00F9A825"/>
      <sz val="13"/>
    </font>
    <font>
      <name val="微软雅黑"/>
      <b val="1"/>
      <color rgb="00C62828"/>
      <sz val="10"/>
    </font>
    <font>
      <name val="微软雅黑"/>
      <color rgb="00C62828"/>
      <sz val="13"/>
    </font>
    <font>
      <name val="微软雅黑"/>
      <b val="1"/>
      <color rgb="0078909C"/>
      <sz val="10"/>
    </font>
    <font>
      <name val="微软雅黑"/>
      <color rgb="0078909C"/>
      <sz val="13"/>
    </font>
  </fonts>
  <fills count="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8" customWidth="1" min="4" max="4"/>
    <col width="11" customWidth="1" min="5" max="5"/>
    <col width="46" customWidth="1" min="6" max="6"/>
  </cols>
  <sheetData>
    <row r="1" ht="28" customHeight="1">
      <c r="A1" s="1" t="inlineStr">
        <is>
          <t>评分维度</t>
        </is>
      </c>
      <c r="B1" s="1" t="inlineStr">
        <is>
          <t>维度满分</t>
        </is>
      </c>
      <c r="C1" s="1" t="inlineStr">
        <is>
          <t>权重</t>
        </is>
      </c>
      <c r="D1" s="1" t="inlineStr">
        <is>
          <t>得分</t>
        </is>
      </c>
      <c r="E1" s="1" t="inlineStr">
        <is>
          <t>加权得分</t>
        </is>
      </c>
      <c r="F1" s="1" t="inlineStr">
        <is>
          <t>评分依据</t>
        </is>
      </c>
    </row>
    <row r="2" ht="30" customHeight="1">
      <c r="A2" s="2" t="inlineStr">
        <is>
          <t>基本合规与身份信息</t>
        </is>
      </c>
      <c r="B2" s="3" t="n">
        <v>100</v>
      </c>
      <c r="C2" s="4" t="n">
        <v>0.2</v>
      </c>
      <c r="D2" s="3" t="n"/>
      <c r="E2" s="5">
        <f>IF(D2="","",D2*C2)</f>
        <v/>
      </c>
      <c r="F2" s="2" t="n"/>
    </row>
    <row r="3" ht="30" customHeight="1">
      <c r="A3" s="2" t="inlineStr">
        <is>
          <t>技术文档与合格评定</t>
        </is>
      </c>
      <c r="B3" s="3" t="n">
        <v>100</v>
      </c>
      <c r="C3" s="4" t="n">
        <v>0.2</v>
      </c>
      <c r="D3" s="3" t="n"/>
      <c r="E3" s="5">
        <f>IF(D3="","",D3*C3)</f>
        <v/>
      </c>
      <c r="F3" s="2" t="n"/>
    </row>
    <row r="4" ht="30" customHeight="1">
      <c r="A4" s="2" t="inlineStr">
        <is>
          <t>碳足迹与环境声明</t>
        </is>
      </c>
      <c r="B4" s="3" t="n">
        <v>100</v>
      </c>
      <c r="C4" s="4" t="n">
        <v>0.15</v>
      </c>
      <c r="D4" s="3" t="n"/>
      <c r="E4" s="5">
        <f>IF(D4="","",D4*C4)</f>
        <v/>
      </c>
      <c r="F4" s="2" t="n"/>
    </row>
    <row r="5" ht="30" customHeight="1">
      <c r="A5" s="2" t="inlineStr">
        <is>
          <t>材料与供应链</t>
        </is>
      </c>
      <c r="B5" s="3" t="n">
        <v>100</v>
      </c>
      <c r="C5" s="4" t="n">
        <v>0.2</v>
      </c>
      <c r="D5" s="3" t="n"/>
      <c r="E5" s="5">
        <f>IF(D5="","",D5*C5)</f>
        <v/>
      </c>
      <c r="F5" s="2" t="n"/>
    </row>
    <row r="6" ht="30" customHeight="1">
      <c r="A6" s="2" t="inlineStr">
        <is>
          <t>性能与耐久性</t>
        </is>
      </c>
      <c r="B6" s="3" t="n">
        <v>100</v>
      </c>
      <c r="C6" s="4" t="n">
        <v>0.15</v>
      </c>
      <c r="D6" s="3" t="n"/>
      <c r="E6" s="5">
        <f>IF(D6="","",D6*C6)</f>
        <v/>
      </c>
      <c r="F6" s="2" t="n"/>
    </row>
    <row r="7" ht="30" customHeight="1">
      <c r="A7" s="2" t="inlineStr">
        <is>
          <t>数据系统与动态数据</t>
        </is>
      </c>
      <c r="B7" s="3" t="n">
        <v>100</v>
      </c>
      <c r="C7" s="4" t="n">
        <v>0.1</v>
      </c>
      <c r="D7" s="3" t="n"/>
      <c r="E7" s="5">
        <f>IF(D7="","",D7*C7)</f>
        <v/>
      </c>
      <c r="F7" s="2" t="n"/>
    </row>
    <row r="8">
      <c r="A8" s="6" t="inlineStr">
        <is>
          <t>加权总分（0-100）</t>
        </is>
      </c>
      <c r="B8" s="7" t="n"/>
      <c r="C8" s="8">
        <f>SUM(C2:C7)</f>
        <v/>
      </c>
      <c r="D8" s="7" t="n"/>
      <c r="E8" s="9">
        <f>SUM(E2:E7)</f>
        <v/>
      </c>
      <c r="F8" s="7" t="n"/>
    </row>
    <row r="9">
      <c r="A9" s="6" t="inlineStr">
        <is>
          <t>综合评级</t>
        </is>
      </c>
      <c r="B9" s="7">
        <f>IF(E8="","（完成各维度得分后自动显示）",IF(E8&gt;=80,"🟢 绿色 · 合规水位高",IF(E8&gt;=50,"🟡 黄色 · 存在显著差距","🔴 红色 · 合规基础薄弱")))</f>
        <v/>
      </c>
      <c r="C9" s="7" t="n"/>
      <c r="D9" s="7" t="n"/>
      <c r="E9" s="7" t="n"/>
      <c r="F9" s="7" t="n"/>
    </row>
    <row r="11" ht="24" customHeight="1">
      <c r="A11" s="1" t="inlineStr">
        <is>
          <t>评分维度</t>
        </is>
      </c>
      <c r="B11" s="1" t="inlineStr">
        <is>
          <t>评分要点（供打分参考）</t>
        </is>
      </c>
      <c r="C11" s="1" t="n"/>
      <c r="D11" s="1" t="n"/>
      <c r="E11" s="1" t="n"/>
      <c r="F11" s="1" t="n"/>
    </row>
    <row r="12" ht="30" customHeight="1">
      <c r="A12" s="10" t="inlineStr">
        <is>
          <t>基本合规与身份信息</t>
        </is>
      </c>
      <c r="B12" s="10" t="inlineStr">
        <is>
          <t>主体信息、产品类别判定、出口范围、制造地、型号/序列号体系；护照身份字段（DP1-16）就绪度</t>
        </is>
      </c>
      <c r="C12" s="10" t="n"/>
      <c r="D12" s="10" t="n"/>
      <c r="E12" s="10" t="n"/>
      <c r="F12" s="10" t="n"/>
    </row>
    <row r="13" ht="30" customHeight="1">
      <c r="A13" s="10" t="inlineStr">
        <is>
          <t>技术文档与合格评定</t>
        </is>
      </c>
      <c r="B13" s="10" t="inlineStr">
        <is>
          <t>CE/DoC覆盖与有效性、标签铭牌、技术文件体系、EPR注册、合格评定数据（DP40-44、50）</t>
        </is>
      </c>
      <c r="C13" s="10" t="n"/>
      <c r="D13" s="10" t="n"/>
      <c r="E13" s="10" t="n"/>
      <c r="F13" s="10" t="n"/>
    </row>
    <row r="14" ht="30" customHeight="1">
      <c r="A14" s="10" t="inlineStr">
        <is>
          <t>碳足迹与环境声明</t>
        </is>
      </c>
      <c r="B14" s="10" t="inlineStr">
        <is>
          <t>LCA（PEF方法）完成度、一级数据占比、第三方核验/委托进展、碳等级标签准备（DP17-18）</t>
        </is>
      </c>
      <c r="C14" s="10" t="n"/>
      <c r="D14" s="10" t="n"/>
      <c r="E14" s="10" t="n"/>
      <c r="F14" s="10" t="n"/>
    </row>
    <row r="15" ht="30" customHeight="1">
      <c r="A15" s="10" t="inlineStr">
        <is>
          <t>材料与供应链</t>
        </is>
      </c>
      <c r="B15" s="10" t="inlineStr">
        <is>
          <t>再生含量、BOM/关键原材料、尽调政策、一二三级供应商数据获取能力（DP19-25、45-49）</t>
        </is>
      </c>
      <c r="C15" s="10" t="n"/>
      <c r="D15" s="10" t="n"/>
      <c r="E15" s="10" t="n"/>
      <c r="F15" s="10" t="n"/>
    </row>
    <row r="16" ht="30" customHeight="1">
      <c r="A16" s="10" t="inlineStr">
        <is>
          <t>性能与耐久性</t>
        </is>
      </c>
      <c r="B16" s="10" t="inlineStr">
        <is>
          <t>电压/功率/能量、寿命循环、容量与效率、内阻等参数化数据完整度（DP26-39）</t>
        </is>
      </c>
      <c r="C16" s="10" t="n"/>
      <c r="D16" s="10" t="n"/>
      <c r="E16" s="10" t="n"/>
      <c r="F16" s="10" t="n"/>
    </row>
    <row r="17" ht="30" customHeight="1">
      <c r="A17" s="10" t="inlineStr">
        <is>
          <t>数据系统与动态数据</t>
        </is>
      </c>
      <c r="B17" s="10" t="inlineStr">
        <is>
          <t>QR码、护照系统对接、内部数据管理、BMS动态SoH数据更新链路、访问控制（DP51-71）</t>
        </is>
      </c>
      <c r="C17" s="10" t="n"/>
      <c r="D17" s="10" t="n"/>
      <c r="E17" s="10" t="n"/>
      <c r="F17" s="10" t="n"/>
    </row>
  </sheetData>
  <mergeCells count="8">
    <mergeCell ref="B12:F12"/>
    <mergeCell ref="B16:F16"/>
    <mergeCell ref="B15:F15"/>
    <mergeCell ref="B11:F11"/>
    <mergeCell ref="B14:F14"/>
    <mergeCell ref="B17:F17"/>
    <mergeCell ref="B9:F9"/>
    <mergeCell ref="B13:F13"/>
  </mergeCells>
  <dataValidations count="1">
    <dataValidation sqref="D2:D7" showDropDown="0" showInputMessage="0" showErrorMessage="0" allowBlank="1" error="得分须为0-100之间的整数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52" customWidth="1" min="3" max="3"/>
    <col width="34" customWidth="1" min="4" max="4"/>
  </cols>
  <sheetData>
    <row r="1" ht="26" customHeight="1">
      <c r="A1" s="1" t="inlineStr">
        <is>
          <t>判定结果</t>
        </is>
      </c>
      <c r="B1" s="1" t="inlineStr">
        <is>
          <t>判定符号</t>
        </is>
      </c>
      <c r="C1" s="1" t="inlineStr">
        <is>
          <t>定义</t>
        </is>
      </c>
      <c r="D1" s="1" t="inlineStr">
        <is>
          <t>计分规则</t>
        </is>
      </c>
    </row>
    <row r="2" ht="64" customHeight="1">
      <c r="A2" s="11" t="inlineStr">
        <is>
          <t>已满足</t>
        </is>
      </c>
      <c r="B2" s="12" t="inlineStr">
        <is>
          <t>✅</t>
        </is>
      </c>
      <c r="C2" s="2" t="inlineStr">
        <is>
          <t>法规要求的内容已具备，证据完整、现行有效、覆盖适用产品范围，可直接进入护照办理材料池</t>
        </is>
      </c>
      <c r="D2" s="2" t="inlineStr">
        <is>
          <t>计满分（该核查项100%）</t>
        </is>
      </c>
    </row>
    <row r="3" ht="64" customHeight="1">
      <c r="A3" s="13" t="inlineStr">
        <is>
          <t>部分满足</t>
        </is>
      </c>
      <c r="B3" s="14" t="inlineStr">
        <is>
          <t>🟡</t>
        </is>
      </c>
      <c r="C3" s="2" t="inlineStr">
        <is>
          <t>有基础但内容不全、版本过时、覆盖不足，或证据链不完整（如碳足迹只有自评未核验、供应商数据覆盖不足、证书仅覆盖部分型号）</t>
        </is>
      </c>
      <c r="D3" s="2" t="inlineStr">
        <is>
          <t>按就绪程度计40%-80%；须在评分依据中注明扣分项</t>
        </is>
      </c>
    </row>
    <row r="4" ht="64" customHeight="1">
      <c r="A4" s="15" t="inlineStr">
        <is>
          <t>未满足</t>
        </is>
      </c>
      <c r="B4" s="16" t="inlineStr">
        <is>
          <t>🔴</t>
        </is>
      </c>
      <c r="C4" s="2" t="inlineStr">
        <is>
          <t>无该项数据或基础资质缺失，或证据无效/无法提供，不解决将影响2027年2月18日后投放市场</t>
        </is>
      </c>
      <c r="D4" s="2" t="inlineStr">
        <is>
          <t>计0分，列入红灯阻塞项，优先级P0</t>
        </is>
      </c>
    </row>
    <row r="5" ht="64" customHeight="1">
      <c r="A5" s="17" t="inlineStr">
        <is>
          <t>不适用</t>
        </is>
      </c>
      <c r="B5" s="18" t="inlineStr">
        <is>
          <t>⚪</t>
        </is>
      </c>
      <c r="C5" s="2" t="inlineStr">
        <is>
          <t>经产品类别判定，该项法定要求不适用于受评电池（需书面说明理由并保留判定记录）</t>
        </is>
      </c>
      <c r="D5" s="2" t="inlineStr">
        <is>
          <t>不计分；权重在维度内其余适用项中合理分摊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6" customWidth="1" min="3" max="3"/>
    <col width="46" customWidth="1" min="4" max="4"/>
  </cols>
  <sheetData>
    <row r="1" ht="26" customHeight="1">
      <c r="A1" s="1" t="inlineStr">
        <is>
          <t>评级</t>
        </is>
      </c>
      <c r="B1" s="1" t="inlineStr">
        <is>
          <t>分数区间</t>
        </is>
      </c>
      <c r="C1" s="1" t="inlineStr">
        <is>
          <t>合规水位说明</t>
        </is>
      </c>
      <c r="D1" s="1" t="inlineStr">
        <is>
          <t>行动含义</t>
        </is>
      </c>
    </row>
    <row r="2" ht="60" customHeight="1">
      <c r="A2" s="11" t="inlineStr">
        <is>
          <t>🟢 绿色</t>
        </is>
      </c>
      <c r="B2" s="3" t="inlineStr">
        <is>
          <t>≥ 80分</t>
        </is>
      </c>
      <c r="C2" s="2" t="inlineStr">
        <is>
          <t>合规水位高：主要数据项齐备，证据链完整，仅有少量格式或时效性差距</t>
        </is>
      </c>
      <c r="D2" s="2" t="inlineStr">
        <is>
          <t>以维护与上线联调为主，按计划办理护照，可作为标杆沉淀经验</t>
        </is>
      </c>
    </row>
    <row r="3" ht="60" customHeight="1">
      <c r="A3" s="13" t="inlineStr">
        <is>
          <t>🟡 黄色</t>
        </is>
      </c>
      <c r="B3" s="3" t="inlineStr">
        <is>
          <t>50 - 79分</t>
        </is>
      </c>
      <c r="C3" s="2" t="inlineStr">
        <is>
          <t>存在显著差距：有合规基础，但若干关键维度不完整（碳足迹、供应链或动态数据常见短板）</t>
        </is>
      </c>
      <c r="D3" s="2" t="inlineStr">
        <is>
          <t>限期补齐黄灯风险项，重点启动第三方研究/供应商数据回收，按月跟踪</t>
        </is>
      </c>
    </row>
    <row r="4" ht="60" customHeight="1">
      <c r="A4" s="15" t="inlineStr">
        <is>
          <t>🔴 红色</t>
        </is>
      </c>
      <c r="B4" s="3" t="inlineStr">
        <is>
          <t>&lt; 50分</t>
        </is>
      </c>
      <c r="C4" s="2" t="inlineStr">
        <is>
          <t>合规基础薄弱：资质或数据基础大面积缺失，不整改无法按期投放欧盟市场</t>
        </is>
      </c>
      <c r="D4" s="2" t="inlineStr">
        <is>
          <t>立即启动P0阻塞项整改，管理层介入投入资源，必要时调整出口节奏</t>
        </is>
      </c>
    </row>
    <row r="6" ht="44" customHeight="1">
      <c r="A6" s="19" t="inlineStr">
        <is>
          <t>计算口径：各维度按32项核查中归属该维度的单项判定计分并汇总为维度得分（0-100）；加权总分 = Σ（维度得分 × 权重）。评分须以证据为依据，不得凭口头陈述给满分；评级结果与红黄绿差距明细互相校验一致。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2026-09-26T01:50:11Z</dcterms:created>
  <dcterms:modified xmlns:dcterms="http://purl.org/dc/terms/" xmlns:xsi="http://www.w3.org/2001/XMLSchema-instance" xsi:type="dcterms:W3CDTF">2026-09-26T01:50:11Z</dcterms:modified>
</cp:coreProperties>
</file>